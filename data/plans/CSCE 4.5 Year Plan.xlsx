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ma\Downloads\"/>
    </mc:Choice>
  </mc:AlternateContent>
  <xr:revisionPtr revIDLastSave="0" documentId="13_ncr:1_{23C1E1AE-03E9-4BBF-9042-D14543B58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Sheet1!$A$1:$S$66</definedName>
  </definedNames>
  <calcPr calcId="191029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61" i="1" l="1"/>
  <c r="D17" i="1" l="1"/>
  <c r="I17" i="1"/>
  <c r="D29" i="1"/>
  <c r="I28" i="1"/>
  <c r="I39" i="1"/>
  <c r="D39" i="1"/>
  <c r="I50" i="1"/>
  <c r="D50" i="1"/>
  <c r="I60" i="1" l="1"/>
</calcChain>
</file>

<file path=xl/sharedStrings.xml><?xml version="1.0" encoding="utf-8"?>
<sst xmlns="http://schemas.openxmlformats.org/spreadsheetml/2006/main" count="216" uniqueCount="140">
  <si>
    <t>Crs.</t>
  </si>
  <si>
    <t>Total Credit Hours</t>
  </si>
  <si>
    <t>CORE</t>
    <phoneticPr fontId="2" type="noConversion"/>
  </si>
  <si>
    <t>SCI</t>
    <phoneticPr fontId="2" type="noConversion"/>
  </si>
  <si>
    <t>Research Writing</t>
    <phoneticPr fontId="2" type="noConversion"/>
  </si>
  <si>
    <t>Senior Project I (Core Capstone I)</t>
  </si>
  <si>
    <t>Core Capstone II</t>
  </si>
  <si>
    <t>Philosophical Thinking</t>
  </si>
  <si>
    <t>CSCE</t>
  </si>
  <si>
    <t>ENGR</t>
  </si>
  <si>
    <t>PHYS</t>
  </si>
  <si>
    <t xml:space="preserve">PHYS </t>
  </si>
  <si>
    <t>RHET</t>
  </si>
  <si>
    <t>PHIL</t>
  </si>
  <si>
    <t>LALT</t>
  </si>
  <si>
    <t>CHEM</t>
  </si>
  <si>
    <t>MACT</t>
  </si>
  <si>
    <t>XXXX</t>
  </si>
  <si>
    <t>Semester 1</t>
  </si>
  <si>
    <t>Semester 9</t>
  </si>
  <si>
    <t>Semester 8</t>
  </si>
  <si>
    <t>Semester 7</t>
  </si>
  <si>
    <t>Semester 6</t>
  </si>
  <si>
    <t>Semester 5</t>
  </si>
  <si>
    <t>Semester 4</t>
  </si>
  <si>
    <t>Semester 2</t>
  </si>
  <si>
    <t>The American University in Cairo</t>
  </si>
  <si>
    <t>Department of Computer Science &amp; Engineering</t>
  </si>
  <si>
    <t>Computer Engineering Major</t>
  </si>
  <si>
    <t>First Year</t>
  </si>
  <si>
    <t>Fifth Year</t>
  </si>
  <si>
    <t>Fourth Year</t>
  </si>
  <si>
    <t>Third Year</t>
  </si>
  <si>
    <t>Second Year</t>
  </si>
  <si>
    <t>General Elective</t>
  </si>
  <si>
    <t xml:space="preserve">Industrial Training </t>
  </si>
  <si>
    <t>Semester 3</t>
  </si>
  <si>
    <t>106/1001</t>
  </si>
  <si>
    <t>123L/1012</t>
  </si>
  <si>
    <t>110/1010</t>
  </si>
  <si>
    <t>110/1101</t>
  </si>
  <si>
    <t>115L/1015</t>
  </si>
  <si>
    <t>112/1021</t>
  </si>
  <si>
    <t>124L/1022</t>
  </si>
  <si>
    <t>132/1122</t>
  </si>
  <si>
    <t>120/1020</t>
  </si>
  <si>
    <t>215/2211</t>
  </si>
  <si>
    <t>200/2131</t>
  </si>
  <si>
    <t>230/2301</t>
  </si>
  <si>
    <t>239L/2302</t>
  </si>
  <si>
    <t>231/2303</t>
  </si>
  <si>
    <t>253/2501</t>
  </si>
  <si>
    <t>231/2123</t>
  </si>
  <si>
    <t>330/3301</t>
  </si>
  <si>
    <t>339L/3302</t>
  </si>
  <si>
    <t>332/3303</t>
  </si>
  <si>
    <t>220/2100</t>
  </si>
  <si>
    <t>341/3701</t>
  </si>
  <si>
    <t>345/3401</t>
  </si>
  <si>
    <t>363/3611</t>
  </si>
  <si>
    <t>233/2141</t>
  </si>
  <si>
    <t>240/2132</t>
  </si>
  <si>
    <t>432/4301</t>
  </si>
  <si>
    <t>438L/4302</t>
  </si>
  <si>
    <t>337/3304</t>
  </si>
  <si>
    <t>490/4950</t>
  </si>
  <si>
    <t>491/4980</t>
  </si>
  <si>
    <t>492/4981</t>
  </si>
  <si>
    <t>222L/2213</t>
  </si>
  <si>
    <t>101/1020</t>
  </si>
  <si>
    <t>Freshman Writing</t>
  </si>
  <si>
    <t>Freshman Seminar</t>
  </si>
  <si>
    <t>Libraries &amp; Learning Technologies</t>
  </si>
  <si>
    <t>Pathways 2: Cultural Explorations</t>
  </si>
  <si>
    <t>Global Studies</t>
  </si>
  <si>
    <t>Humanities/Social Sciences (Secondary Level)</t>
  </si>
  <si>
    <t>Fundamentals of Computing I</t>
  </si>
  <si>
    <t>000/1102</t>
  </si>
  <si>
    <t>321/2202</t>
  </si>
  <si>
    <t>000/2203</t>
  </si>
  <si>
    <t>000/3402</t>
  </si>
  <si>
    <t xml:space="preserve">445/4411 </t>
  </si>
  <si>
    <t>435/3312</t>
  </si>
  <si>
    <t>439L/3313</t>
  </si>
  <si>
    <t>Concentration Elective 1</t>
  </si>
  <si>
    <t>Concentration Elective 2</t>
  </si>
  <si>
    <t>Concentration Elective 3</t>
  </si>
  <si>
    <t>Concentration Elective 4</t>
  </si>
  <si>
    <t>Concentration Elective 5</t>
  </si>
  <si>
    <t>Arab World Studies 1 (Generic Arab)</t>
  </si>
  <si>
    <t>Arab World Studies 2 (Egypt Category)</t>
  </si>
  <si>
    <t>000/2211</t>
  </si>
  <si>
    <t>317/3224</t>
  </si>
  <si>
    <t>000/2105</t>
  </si>
  <si>
    <t>1) Major Requirements are according to Fall 2022/Spring 2023 Catalog Admission &amp;/or Declaration.</t>
  </si>
  <si>
    <t>345/3222</t>
  </si>
  <si>
    <t xml:space="preserve">2) Core Curriculum Requirements are according to Fall 2019 Admission and later. </t>
  </si>
  <si>
    <t xml:space="preserve"> </t>
  </si>
  <si>
    <t xml:space="preserve">Total Credit Hours = </t>
  </si>
  <si>
    <t>Important Notes:</t>
  </si>
  <si>
    <r>
      <t xml:space="preserve">Engineering Economy 
</t>
    </r>
    <r>
      <rPr>
        <sz val="8"/>
        <color rgb="FFFF0000"/>
        <rFont val="Arial"/>
        <family val="2"/>
      </rPr>
      <t xml:space="preserve">Prereq. MACT 1121 </t>
    </r>
  </si>
  <si>
    <t>Scientific Thinking</t>
  </si>
  <si>
    <r>
      <t xml:space="preserve">Probability and Statistics                       </t>
    </r>
    <r>
      <rPr>
        <sz val="8"/>
        <color rgb="FFFF0000"/>
        <rFont val="Arial"/>
        <family val="2"/>
      </rPr>
      <t xml:space="preserve">Prereq. MACT 1122 </t>
    </r>
  </si>
  <si>
    <t>New Plan of Study - Fall 2023/Spring 2024</t>
  </si>
  <si>
    <r>
      <t xml:space="preserve">General Physics Lab                        
</t>
    </r>
    <r>
      <rPr>
        <sz val="8"/>
        <color rgb="FFFF0000"/>
        <rFont val="Arial"/>
        <family val="2"/>
      </rPr>
      <t>Concurrent with PHYS 1011</t>
    </r>
  </si>
  <si>
    <r>
      <t xml:space="preserve">Fundamentals of Computing II                   
</t>
    </r>
    <r>
      <rPr>
        <sz val="8"/>
        <color rgb="FFFF0000"/>
        <rFont val="Arial"/>
        <family val="2"/>
      </rPr>
      <t xml:space="preserve">Prereq. CSCE 1001  and concurrent with CSCE 1102 </t>
    </r>
  </si>
  <si>
    <r>
      <t xml:space="preserve">Fundamentals of Computing II Lab        
</t>
    </r>
    <r>
      <rPr>
        <sz val="8"/>
        <color rgb="FFFF0000"/>
        <rFont val="Arial"/>
        <family val="2"/>
      </rPr>
      <t xml:space="preserve">Concurrent with CSCE 1101 </t>
    </r>
  </si>
  <si>
    <r>
      <t xml:space="preserve">General Chemistry Lab I                                          
</t>
    </r>
    <r>
      <rPr>
        <sz val="8"/>
        <color rgb="FFFF0000"/>
        <rFont val="Arial"/>
        <family val="2"/>
      </rPr>
      <t>Prereq. Thanawiya Amma Science or equivalent</t>
    </r>
  </si>
  <si>
    <r>
      <t xml:space="preserve">Calculus II                                                     
</t>
    </r>
    <r>
      <rPr>
        <sz val="8"/>
        <color rgb="FFFF0000"/>
        <rFont val="Arial"/>
        <family val="2"/>
      </rPr>
      <t>Prereq. MACT 1121  or exemption.</t>
    </r>
  </si>
  <si>
    <r>
      <t xml:space="preserve">Electricity and Magnetism                     
</t>
    </r>
    <r>
      <rPr>
        <sz val="8"/>
        <color rgb="FFFF0000"/>
        <rFont val="Arial"/>
        <family val="2"/>
      </rPr>
      <t>Prereq. PHYS 1011 ,PHYS 1012 ,MACT 1122 or concurrent.</t>
    </r>
  </si>
  <si>
    <r>
      <t xml:space="preserve">General Physics Laboratory II                 
</t>
    </r>
    <r>
      <rPr>
        <sz val="8"/>
        <color rgb="FFFF0000"/>
        <rFont val="Arial"/>
        <family val="2"/>
      </rPr>
      <t>Concurrent with PHYS 1021</t>
    </r>
  </si>
  <si>
    <r>
      <t xml:space="preserve">Applied Data Structures                        
</t>
    </r>
    <r>
      <rPr>
        <sz val="8"/>
        <color rgb="FFFF0000"/>
        <rFont val="Arial"/>
        <family val="2"/>
      </rPr>
      <t xml:space="preserve">Prereq. CSCE 1101 </t>
    </r>
  </si>
  <si>
    <r>
      <t xml:space="preserve">Calculus III                                                    
</t>
    </r>
    <r>
      <rPr>
        <sz val="8"/>
        <color rgb="FFFF0000"/>
        <rFont val="Arial"/>
        <family val="2"/>
      </rPr>
      <t xml:space="preserve">Prereq. MACT 1122 </t>
    </r>
  </si>
  <si>
    <r>
      <t xml:space="preserve">Discrete Mathematics                              
</t>
    </r>
    <r>
      <rPr>
        <sz val="8"/>
        <color rgb="FFFF0000"/>
        <rFont val="Arial"/>
        <family val="2"/>
      </rPr>
      <t>Prereq. MACT 1121  (concurrent or exemption)</t>
    </r>
  </si>
  <si>
    <r>
      <t xml:space="preserve">Introduction to Electronics                     
</t>
    </r>
    <r>
      <rPr>
        <sz val="8"/>
        <color rgb="FFFF0000"/>
        <rFont val="Arial"/>
        <family val="2"/>
      </rPr>
      <t>Prereq. PHYS 1021</t>
    </r>
  </si>
  <si>
    <r>
      <t xml:space="preserve">Electronics Lab for Computer Scientists &amp; Computer Engineers                            
</t>
    </r>
    <r>
      <rPr>
        <sz val="8"/>
        <color rgb="FFFF0000"/>
        <rFont val="Arial"/>
        <family val="2"/>
      </rPr>
      <t xml:space="preserve">Concurrent PHYS 2211 </t>
    </r>
  </si>
  <si>
    <r>
      <t xml:space="preserve">Linear Algebra                                              
</t>
    </r>
    <r>
      <rPr>
        <sz val="8"/>
        <color rgb="FFFF0000"/>
        <rFont val="Arial"/>
        <family val="2"/>
      </rPr>
      <t>Prereq. MACT 1122 or concurrently.</t>
    </r>
  </si>
  <si>
    <r>
      <t xml:space="preserve">Fundamentals of Database Systems       
</t>
    </r>
    <r>
      <rPr>
        <sz val="8"/>
        <color rgb="FFFF0000"/>
        <rFont val="Arial"/>
        <family val="2"/>
      </rPr>
      <t xml:space="preserve">Prereq. CSCE 1101 </t>
    </r>
  </si>
  <si>
    <r>
      <t xml:space="preserve">Digital  Design I Lab                               
</t>
    </r>
    <r>
      <rPr>
        <sz val="8"/>
        <color rgb="FFFF0000"/>
        <rFont val="Arial"/>
        <family val="2"/>
      </rPr>
      <t>Concurrent with CSCE 2301</t>
    </r>
  </si>
  <si>
    <r>
      <t xml:space="preserve">Digital  Design I                                    
</t>
    </r>
    <r>
      <rPr>
        <sz val="8"/>
        <color rgb="FFFF0000"/>
        <rFont val="Arial"/>
        <family val="2"/>
      </rPr>
      <t>Prereq. PHYS 2211 or concurrent.</t>
    </r>
  </si>
  <si>
    <r>
      <t xml:space="preserve">Analysis &amp; Design of Algorithms Lab       
</t>
    </r>
    <r>
      <rPr>
        <sz val="8"/>
        <color rgb="FFFF0000"/>
        <rFont val="Arial"/>
        <family val="2"/>
      </rPr>
      <t>Prereq. MACT 2131 or concurrent, and concurrent with CSCE 2202</t>
    </r>
  </si>
  <si>
    <r>
      <t xml:space="preserve">Analysis &amp; Design of Algorithms            
</t>
    </r>
    <r>
      <rPr>
        <sz val="8"/>
        <color rgb="FFFF0000"/>
        <rFont val="Arial"/>
        <family val="2"/>
      </rPr>
      <t xml:space="preserve">Prereq. MACT 2131 (or concurrent) and CSCE 2211 </t>
    </r>
  </si>
  <si>
    <r>
      <t xml:space="preserve">Computer Organization &amp; Assembly Language Programming                         
</t>
    </r>
    <r>
      <rPr>
        <sz val="8"/>
        <color rgb="FFFF0000"/>
        <rFont val="Arial"/>
        <family val="2"/>
      </rPr>
      <t xml:space="preserve">Prereq. CSCE 1101 </t>
    </r>
  </si>
  <si>
    <r>
      <t xml:space="preserve">Fundamental Microelectronics               
</t>
    </r>
    <r>
      <rPr>
        <sz val="8"/>
        <color rgb="FFFF0000"/>
        <rFont val="Arial"/>
        <family val="2"/>
      </rPr>
      <t>Prereq. PHYS 2211 and CSCE 2301 or concurrent</t>
    </r>
  </si>
  <si>
    <r>
      <t xml:space="preserve">Software Engineering                             
</t>
    </r>
    <r>
      <rPr>
        <sz val="8"/>
        <color rgb="FFFF0000"/>
        <rFont val="Arial"/>
        <family val="2"/>
      </rPr>
      <t xml:space="preserve">Prereq. CSCE 1101 </t>
    </r>
  </si>
  <si>
    <r>
      <t xml:space="preserve">Engineering Mechanics                           
</t>
    </r>
    <r>
      <rPr>
        <sz val="8"/>
        <color rgb="FFFF0000"/>
        <rFont val="Arial"/>
        <family val="2"/>
      </rPr>
      <t xml:space="preserve">Prereq. MACT 1122 and PHYS 1011 </t>
    </r>
  </si>
  <si>
    <r>
      <t xml:space="preserve">Computer Architecture                          
</t>
    </r>
    <r>
      <rPr>
        <sz val="8"/>
        <color rgb="FFFF0000"/>
        <rFont val="Arial"/>
        <family val="2"/>
      </rPr>
      <t xml:space="preserve">Prereq. (CSCE 2301 or ECNG 2101) and CSCE 2303 </t>
    </r>
  </si>
  <si>
    <r>
      <t xml:space="preserve">Computer Architecture Lab                    
</t>
    </r>
    <r>
      <rPr>
        <sz val="8"/>
        <color rgb="FFFF0000"/>
        <rFont val="Arial"/>
        <family val="2"/>
      </rPr>
      <t xml:space="preserve">Concurrent with CSCE 3301 </t>
    </r>
  </si>
  <si>
    <r>
      <t xml:space="preserve">Operating Systems Lab                         
</t>
    </r>
    <r>
      <rPr>
        <sz val="8"/>
        <color rgb="FFFF0000"/>
        <rFont val="Arial"/>
        <family val="2"/>
      </rPr>
      <t xml:space="preserve">Prereq. CSCE 1101 </t>
    </r>
  </si>
  <si>
    <r>
      <t xml:space="preserve">Digital Signal Processing                       
</t>
    </r>
    <r>
      <rPr>
        <sz val="8"/>
        <color rgb="FFFF0000"/>
        <rFont val="Arial"/>
        <family val="2"/>
      </rPr>
      <t>Prereq. PHYS 2211 and junior standing.</t>
    </r>
  </si>
  <si>
    <r>
      <t xml:space="preserve">Differential Equations                                     
</t>
    </r>
    <r>
      <rPr>
        <sz val="8"/>
        <color rgb="FFFF0000"/>
        <rFont val="Arial"/>
        <family val="2"/>
      </rPr>
      <t xml:space="preserve">Prereq. MACT 1122 </t>
    </r>
  </si>
  <si>
    <r>
      <t xml:space="preserve">Computer Networks                              
</t>
    </r>
    <r>
      <rPr>
        <sz val="8"/>
        <color rgb="FFFF0000"/>
        <rFont val="Arial"/>
        <family val="2"/>
      </rPr>
      <t>Prereq. PHYS 2211 and (MACT 3211 or MACT 3224)</t>
    </r>
  </si>
  <si>
    <r>
      <t xml:space="preserve">Computer Networks Lab                       
</t>
    </r>
    <r>
      <rPr>
        <sz val="8"/>
        <color rgb="FFFF0000"/>
        <rFont val="Arial"/>
        <family val="2"/>
      </rPr>
      <t>Prereq. Concurrent with CSCE 3312.</t>
    </r>
  </si>
  <si>
    <r>
      <t xml:space="preserve">Fundamentals of Distributed Systems     
</t>
    </r>
    <r>
      <rPr>
        <sz val="8"/>
        <color rgb="FFFF0000"/>
        <rFont val="Arial"/>
        <family val="2"/>
      </rPr>
      <t xml:space="preserve">Prereq. CSCE 3401 </t>
    </r>
  </si>
  <si>
    <r>
      <t xml:space="preserve">Embedded Systems                              
</t>
    </r>
    <r>
      <rPr>
        <sz val="8"/>
        <color rgb="FFFF0000"/>
        <rFont val="Arial"/>
        <family val="2"/>
      </rPr>
      <t>Prereq. CSCE 3301, CSCE 3401, CSCE 3312, and Concurrent with CSCE 4302</t>
    </r>
  </si>
  <si>
    <r>
      <t xml:space="preserve">Embedded Systems Lab                       
</t>
    </r>
    <r>
      <rPr>
        <sz val="8"/>
        <color rgb="FFFF0000"/>
        <rFont val="Arial"/>
        <family val="2"/>
      </rPr>
      <t>Prereq. Concurrent with  CSCE 4301</t>
    </r>
    <r>
      <rPr>
        <sz val="9"/>
        <rFont val="Arial"/>
        <family val="2"/>
      </rPr>
      <t xml:space="preserve"> </t>
    </r>
  </si>
  <si>
    <r>
      <t xml:space="preserve">Senior Project II (Core Capstone I)           
</t>
    </r>
    <r>
      <rPr>
        <sz val="8"/>
        <color rgb="FFFF0000"/>
        <rFont val="Arial"/>
        <family val="2"/>
      </rPr>
      <t xml:space="preserve">Prereq. CSCE 4980 </t>
    </r>
  </si>
  <si>
    <r>
      <t xml:space="preserve">Digital Design II                                    
</t>
    </r>
    <r>
      <rPr>
        <sz val="8"/>
        <color rgb="FFFF0000"/>
        <rFont val="Arial"/>
        <family val="2"/>
      </rPr>
      <t>Prereq. CSCE 3301 , CSCE 3303</t>
    </r>
  </si>
  <si>
    <r>
      <t xml:space="preserve">Operating Systems                               
</t>
    </r>
    <r>
      <rPr>
        <sz val="8"/>
        <color rgb="FFFF0000"/>
        <rFont val="Arial"/>
        <family val="2"/>
      </rPr>
      <t>Prereq. CSCE 2211 and CSCE 3301</t>
    </r>
  </si>
  <si>
    <t>Updated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</si>
</sst>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Gill Sans MT"/>
      <family val="2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0"/>
      <name val="Calibri"/>
      <family val="2"/>
      <scheme val="minor"/>
    </font>
    <font>
      <sz val="9"/>
      <name val="Arial"/>
      <family val="2"/>
    </font>
    <font>
      <sz val="8"/>
      <color rgb="FFFF0000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3" applyAlignment="1">
      <alignment horizontal="left" vertical="center" wrapText="1" indent="1"/>
    </xf>
    <xf numFmtId="0" fontId="10" fillId="0" borderId="0" xfId="3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4" borderId="2" xfId="0" applyFont="1" applyFill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 shrinkToFit="1"/>
    </xf>
    <xf numFmtId="0" fontId="17" fillId="0" borderId="0" xfId="0" applyFont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 shrinkToFi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right" wrapText="1"/>
    </xf>
    <xf numFmtId="0" fontId="2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5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talog.aucegypt.edu/preview_program.php?catoid=38&amp;poid=6617&amp;returnto=1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K66"/>
  <sheetViews>
    <sheetView tabSelected="1" view="pageBreakPreview" zoomScale="106" zoomScaleNormal="106" zoomScaleSheetLayoutView="106" workbookViewId="0">
      <selection activeCell="D50" sqref="D50"/>
    </sheetView>
  </sheetViews>
  <sheetFormatPr defaultColWidth="8.88671875" defaultRowHeight="13.8" x14ac:dyDescent="0.25"/>
  <cols>
    <col min="1" max="1" width="5.6640625" style="1" bestFit="1" customWidth="1"/>
    <col min="2" max="2" width="9.5546875" style="1" bestFit="1" customWidth="1"/>
    <col min="3" max="3" width="32.33203125" style="29" customWidth="1"/>
    <col min="4" max="4" width="4" style="1" bestFit="1" customWidth="1"/>
    <col min="5" max="5" width="1.33203125" style="3" customWidth="1"/>
    <col min="6" max="6" width="5.6640625" style="1" bestFit="1" customWidth="1"/>
    <col min="7" max="7" width="9.5546875" style="1" bestFit="1" customWidth="1"/>
    <col min="8" max="8" width="32.33203125" style="29" customWidth="1"/>
    <col min="9" max="9" width="4" style="1" bestFit="1" customWidth="1"/>
    <col min="10" max="10" width="10.33203125" style="1" customWidth="1"/>
    <col min="11" max="11" width="4.88671875" style="1" bestFit="1" customWidth="1"/>
    <col min="12" max="16384" width="8.88671875" style="1"/>
  </cols>
  <sheetData>
    <row r="1" spans="1:10" ht="18" x14ac:dyDescent="0.25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13"/>
    </row>
    <row r="2" spans="1:10" ht="18" x14ac:dyDescent="0.25">
      <c r="A2" s="41" t="s">
        <v>27</v>
      </c>
      <c r="B2" s="41"/>
      <c r="C2" s="41"/>
      <c r="D2" s="41"/>
      <c r="E2" s="41"/>
      <c r="F2" s="41"/>
      <c r="G2" s="41"/>
      <c r="H2" s="41"/>
      <c r="I2" s="41"/>
      <c r="J2" s="13"/>
    </row>
    <row r="3" spans="1:10" ht="28.8" x14ac:dyDescent="0.55000000000000004">
      <c r="A3" s="42" t="s">
        <v>103</v>
      </c>
      <c r="B3" s="42"/>
      <c r="C3" s="42"/>
      <c r="D3" s="42"/>
      <c r="E3" s="42"/>
      <c r="F3" s="42"/>
      <c r="G3" s="42"/>
      <c r="H3" s="42"/>
      <c r="I3" s="42"/>
      <c r="J3" s="13"/>
    </row>
    <row r="4" spans="1:10" ht="25.8" x14ac:dyDescent="0.25">
      <c r="A4" s="43" t="s">
        <v>28</v>
      </c>
      <c r="B4" s="43"/>
      <c r="C4" s="43"/>
      <c r="D4" s="43"/>
      <c r="E4" s="43"/>
      <c r="F4" s="43"/>
      <c r="G4" s="43"/>
      <c r="H4" s="43"/>
      <c r="I4" s="43"/>
      <c r="J4" s="13"/>
    </row>
    <row r="5" spans="1:10" x14ac:dyDescent="0.25">
      <c r="A5" s="44" t="s">
        <v>139</v>
      </c>
      <c r="B5" s="44"/>
      <c r="C5" s="44"/>
      <c r="D5" s="44"/>
      <c r="E5" s="44"/>
      <c r="F5" s="44"/>
      <c r="G5" s="44"/>
      <c r="H5" s="44"/>
      <c r="I5" s="44"/>
      <c r="J5" s="13"/>
    </row>
    <row r="6" spans="1:10" ht="15.6" x14ac:dyDescent="0.25">
      <c r="A6" s="40" t="s">
        <v>29</v>
      </c>
      <c r="B6" s="40"/>
      <c r="C6" s="40"/>
      <c r="D6" s="40"/>
      <c r="E6" s="40"/>
      <c r="F6" s="40"/>
      <c r="G6" s="40"/>
      <c r="H6" s="40"/>
      <c r="I6" s="40"/>
      <c r="J6" s="14"/>
    </row>
    <row r="7" spans="1:10" x14ac:dyDescent="0.25">
      <c r="A7" s="39" t="s">
        <v>18</v>
      </c>
      <c r="B7" s="39"/>
      <c r="C7" s="39"/>
      <c r="D7" s="9" t="s">
        <v>0</v>
      </c>
      <c r="E7" s="4"/>
      <c r="F7" s="46" t="s">
        <v>25</v>
      </c>
      <c r="G7" s="47"/>
      <c r="H7" s="48"/>
      <c r="I7" s="9" t="s">
        <v>0</v>
      </c>
      <c r="J7" s="14"/>
    </row>
    <row r="8" spans="1:10" s="6" customFormat="1" ht="31.8" x14ac:dyDescent="0.25">
      <c r="A8" s="5" t="s">
        <v>8</v>
      </c>
      <c r="B8" s="5" t="s">
        <v>37</v>
      </c>
      <c r="C8" s="22" t="s">
        <v>76</v>
      </c>
      <c r="D8" s="5">
        <v>3</v>
      </c>
      <c r="E8" s="4"/>
      <c r="F8" s="5" t="s">
        <v>8</v>
      </c>
      <c r="G8" s="5" t="s">
        <v>40</v>
      </c>
      <c r="H8" s="22" t="s">
        <v>105</v>
      </c>
      <c r="I8" s="5">
        <v>3</v>
      </c>
      <c r="J8" s="14"/>
    </row>
    <row r="9" spans="1:10" s="6" customFormat="1" ht="21.6" x14ac:dyDescent="0.25">
      <c r="A9" s="5" t="s">
        <v>11</v>
      </c>
      <c r="B9" s="5" t="s">
        <v>38</v>
      </c>
      <c r="C9" s="21" t="s">
        <v>104</v>
      </c>
      <c r="D9" s="5">
        <v>1</v>
      </c>
      <c r="E9" s="4"/>
      <c r="F9" s="5" t="s">
        <v>8</v>
      </c>
      <c r="G9" s="5" t="s">
        <v>77</v>
      </c>
      <c r="H9" s="22" t="s">
        <v>106</v>
      </c>
      <c r="I9" s="5">
        <v>1</v>
      </c>
      <c r="J9" s="14"/>
    </row>
    <row r="10" spans="1:10" s="6" customFormat="1" ht="21.6" x14ac:dyDescent="0.25">
      <c r="A10" s="7" t="s">
        <v>12</v>
      </c>
      <c r="B10" s="7" t="s">
        <v>39</v>
      </c>
      <c r="C10" s="24" t="s">
        <v>70</v>
      </c>
      <c r="D10" s="7">
        <v>3</v>
      </c>
      <c r="E10" s="4"/>
      <c r="F10" s="5" t="s">
        <v>15</v>
      </c>
      <c r="G10" s="5" t="s">
        <v>41</v>
      </c>
      <c r="H10" s="19" t="s">
        <v>107</v>
      </c>
      <c r="I10" s="5">
        <v>1</v>
      </c>
      <c r="J10" s="14"/>
    </row>
    <row r="11" spans="1:10" s="6" customFormat="1" ht="21.6" x14ac:dyDescent="0.25">
      <c r="A11" s="7" t="s">
        <v>2</v>
      </c>
      <c r="B11" s="7" t="s">
        <v>39</v>
      </c>
      <c r="C11" s="24" t="s">
        <v>71</v>
      </c>
      <c r="D11" s="7">
        <v>3</v>
      </c>
      <c r="E11" s="4"/>
      <c r="F11" s="5" t="s">
        <v>16</v>
      </c>
      <c r="G11" s="5" t="s">
        <v>44</v>
      </c>
      <c r="H11" s="22" t="s">
        <v>108</v>
      </c>
      <c r="I11" s="5">
        <v>3</v>
      </c>
      <c r="J11" s="14"/>
    </row>
    <row r="12" spans="1:10" s="6" customFormat="1" ht="31.8" x14ac:dyDescent="0.25">
      <c r="A12" s="7" t="s">
        <v>3</v>
      </c>
      <c r="B12" s="7" t="s">
        <v>45</v>
      </c>
      <c r="C12" s="24" t="s">
        <v>101</v>
      </c>
      <c r="D12" s="7">
        <v>3</v>
      </c>
      <c r="E12" s="4"/>
      <c r="F12" s="5" t="s">
        <v>10</v>
      </c>
      <c r="G12" s="5" t="s">
        <v>42</v>
      </c>
      <c r="H12" s="22" t="s">
        <v>109</v>
      </c>
      <c r="I12" s="5">
        <v>3</v>
      </c>
      <c r="J12" s="14"/>
    </row>
    <row r="13" spans="1:10" s="6" customFormat="1" ht="21.6" x14ac:dyDescent="0.25">
      <c r="A13" s="5" t="s">
        <v>16</v>
      </c>
      <c r="B13" s="5" t="s">
        <v>47</v>
      </c>
      <c r="C13" s="22" t="s">
        <v>113</v>
      </c>
      <c r="D13" s="5">
        <v>3</v>
      </c>
      <c r="E13" s="4"/>
      <c r="F13" s="5" t="s">
        <v>10</v>
      </c>
      <c r="G13" s="5" t="s">
        <v>43</v>
      </c>
      <c r="H13" s="22" t="s">
        <v>110</v>
      </c>
      <c r="I13" s="5">
        <v>1</v>
      </c>
      <c r="J13" s="14"/>
    </row>
    <row r="14" spans="1:10" s="6" customFormat="1" x14ac:dyDescent="0.25">
      <c r="A14" s="5"/>
      <c r="B14" s="5"/>
      <c r="C14" s="25"/>
      <c r="D14" s="5"/>
      <c r="E14" s="4"/>
      <c r="F14" s="7" t="s">
        <v>12</v>
      </c>
      <c r="G14" s="7" t="s">
        <v>45</v>
      </c>
      <c r="H14" s="24" t="s">
        <v>4</v>
      </c>
      <c r="I14" s="7">
        <v>3</v>
      </c>
    </row>
    <row r="15" spans="1:10" s="6" customFormat="1" x14ac:dyDescent="0.25">
      <c r="A15" s="5"/>
      <c r="B15" s="5"/>
      <c r="C15" s="25"/>
      <c r="D15" s="5"/>
      <c r="E15" s="4"/>
      <c r="F15" s="7" t="s">
        <v>13</v>
      </c>
      <c r="G15" s="7" t="s">
        <v>56</v>
      </c>
      <c r="H15" s="24" t="s">
        <v>7</v>
      </c>
      <c r="I15" s="7">
        <v>3</v>
      </c>
      <c r="J15" s="14"/>
    </row>
    <row r="16" spans="1:10" s="6" customFormat="1" x14ac:dyDescent="0.25">
      <c r="A16" s="5"/>
      <c r="B16" s="5"/>
      <c r="C16" s="25"/>
      <c r="D16" s="5"/>
      <c r="E16" s="4"/>
      <c r="F16" s="7" t="s">
        <v>14</v>
      </c>
      <c r="G16" s="7" t="s">
        <v>69</v>
      </c>
      <c r="H16" s="24" t="s">
        <v>72</v>
      </c>
      <c r="I16" s="7">
        <v>0</v>
      </c>
      <c r="J16" s="14"/>
    </row>
    <row r="17" spans="1:10" s="6" customFormat="1" x14ac:dyDescent="0.25">
      <c r="A17" s="45" t="s">
        <v>1</v>
      </c>
      <c r="B17" s="45"/>
      <c r="C17" s="45"/>
      <c r="D17" s="11">
        <f>SUM(D8:D16)</f>
        <v>16</v>
      </c>
      <c r="E17" s="4"/>
      <c r="F17" s="45" t="s">
        <v>1</v>
      </c>
      <c r="G17" s="45"/>
      <c r="H17" s="45"/>
      <c r="I17" s="11">
        <f>SUM(I8:I16)</f>
        <v>18</v>
      </c>
      <c r="J17" s="14" t="s">
        <v>97</v>
      </c>
    </row>
    <row r="18" spans="1:10" x14ac:dyDescent="0.25">
      <c r="A18" s="10"/>
      <c r="B18" s="10"/>
      <c r="C18" s="26"/>
      <c r="D18" s="10"/>
      <c r="E18" s="4"/>
      <c r="F18" s="10"/>
      <c r="G18" s="10"/>
      <c r="H18" s="26"/>
      <c r="I18" s="10"/>
      <c r="J18" s="14"/>
    </row>
    <row r="19" spans="1:10" ht="15.6" x14ac:dyDescent="0.25">
      <c r="A19" s="37" t="s">
        <v>33</v>
      </c>
      <c r="B19" s="37"/>
      <c r="C19" s="37"/>
      <c r="D19" s="37"/>
      <c r="E19" s="4"/>
      <c r="F19" s="37"/>
      <c r="G19" s="37"/>
      <c r="H19" s="37"/>
      <c r="I19" s="37"/>
      <c r="J19" s="14"/>
    </row>
    <row r="20" spans="1:10" ht="15.6" x14ac:dyDescent="0.25">
      <c r="A20" s="39" t="s">
        <v>36</v>
      </c>
      <c r="B20" s="39"/>
      <c r="C20" s="39"/>
      <c r="D20" s="9" t="s">
        <v>0</v>
      </c>
      <c r="E20" s="37"/>
      <c r="F20" s="39" t="s">
        <v>24</v>
      </c>
      <c r="G20" s="39"/>
      <c r="H20" s="39"/>
      <c r="I20" s="9" t="s">
        <v>0</v>
      </c>
      <c r="J20" s="14"/>
    </row>
    <row r="21" spans="1:10" ht="31.8" x14ac:dyDescent="0.25">
      <c r="A21" s="5" t="s">
        <v>8</v>
      </c>
      <c r="B21" s="5" t="s">
        <v>91</v>
      </c>
      <c r="C21" s="27" t="s">
        <v>111</v>
      </c>
      <c r="D21" s="5">
        <v>3</v>
      </c>
      <c r="E21" s="4"/>
      <c r="F21" s="5" t="s">
        <v>8</v>
      </c>
      <c r="G21" s="5" t="s">
        <v>78</v>
      </c>
      <c r="H21" s="22" t="s">
        <v>121</v>
      </c>
      <c r="I21" s="5">
        <v>3</v>
      </c>
      <c r="J21" s="14"/>
    </row>
    <row r="22" spans="1:10" s="6" customFormat="1" ht="31.8" x14ac:dyDescent="0.25">
      <c r="A22" s="5" t="s">
        <v>16</v>
      </c>
      <c r="B22" s="5" t="s">
        <v>52</v>
      </c>
      <c r="C22" s="23" t="s">
        <v>112</v>
      </c>
      <c r="D22" s="5">
        <v>3</v>
      </c>
      <c r="F22" s="5" t="s">
        <v>8</v>
      </c>
      <c r="G22" s="5" t="s">
        <v>79</v>
      </c>
      <c r="H22" s="22" t="s">
        <v>120</v>
      </c>
      <c r="I22" s="5">
        <v>1</v>
      </c>
      <c r="J22" s="14"/>
    </row>
    <row r="23" spans="1:10" s="6" customFormat="1" ht="21.6" x14ac:dyDescent="0.25">
      <c r="A23" s="5" t="s">
        <v>16</v>
      </c>
      <c r="B23" s="5" t="s">
        <v>61</v>
      </c>
      <c r="C23" s="23" t="s">
        <v>116</v>
      </c>
      <c r="D23" s="5">
        <v>3</v>
      </c>
      <c r="F23" s="5" t="s">
        <v>8</v>
      </c>
      <c r="G23" s="5" t="s">
        <v>48</v>
      </c>
      <c r="H23" s="22" t="s">
        <v>119</v>
      </c>
      <c r="I23" s="5">
        <v>3</v>
      </c>
      <c r="J23" s="14"/>
    </row>
    <row r="24" spans="1:10" s="6" customFormat="1" ht="21.6" x14ac:dyDescent="0.25">
      <c r="A24" s="5" t="s">
        <v>10</v>
      </c>
      <c r="B24" s="5" t="s">
        <v>46</v>
      </c>
      <c r="C24" s="22" t="s">
        <v>114</v>
      </c>
      <c r="D24" s="5">
        <v>3</v>
      </c>
      <c r="F24" s="5" t="s">
        <v>8</v>
      </c>
      <c r="G24" s="5" t="s">
        <v>49</v>
      </c>
      <c r="H24" s="22" t="s">
        <v>118</v>
      </c>
      <c r="I24" s="5">
        <v>1</v>
      </c>
      <c r="J24" s="14"/>
    </row>
    <row r="25" spans="1:10" s="6" customFormat="1" ht="33" x14ac:dyDescent="0.25">
      <c r="A25" s="5" t="s">
        <v>10</v>
      </c>
      <c r="B25" s="5" t="s">
        <v>68</v>
      </c>
      <c r="C25" s="28" t="s">
        <v>115</v>
      </c>
      <c r="D25" s="5">
        <v>1</v>
      </c>
      <c r="E25" s="4"/>
      <c r="F25" s="5" t="s">
        <v>8</v>
      </c>
      <c r="G25" s="5" t="s">
        <v>51</v>
      </c>
      <c r="H25" s="22" t="s">
        <v>117</v>
      </c>
      <c r="I25" s="5">
        <v>3</v>
      </c>
      <c r="J25" s="14"/>
    </row>
    <row r="26" spans="1:10" s="6" customFormat="1" x14ac:dyDescent="0.25">
      <c r="A26" s="5"/>
      <c r="B26" s="5"/>
      <c r="C26" s="28"/>
      <c r="D26" s="5"/>
      <c r="E26" s="4"/>
      <c r="F26" s="50"/>
      <c r="G26" s="50"/>
      <c r="H26" s="51"/>
      <c r="I26" s="50"/>
      <c r="J26" s="14"/>
    </row>
    <row r="27" spans="1:10" s="6" customFormat="1" x14ac:dyDescent="0.25">
      <c r="A27" s="7" t="s">
        <v>17</v>
      </c>
      <c r="B27" s="7" t="s">
        <v>17</v>
      </c>
      <c r="C27" s="24" t="s">
        <v>74</v>
      </c>
      <c r="D27" s="7">
        <v>3</v>
      </c>
      <c r="E27" s="4"/>
      <c r="F27" s="7" t="s">
        <v>17</v>
      </c>
      <c r="G27" s="7" t="s">
        <v>17</v>
      </c>
      <c r="H27" s="24" t="s">
        <v>73</v>
      </c>
      <c r="I27" s="7">
        <v>3</v>
      </c>
      <c r="J27" s="14"/>
    </row>
    <row r="28" spans="1:10" s="6" customFormat="1" x14ac:dyDescent="0.25">
      <c r="A28" s="5"/>
      <c r="B28" s="5"/>
      <c r="C28" s="25"/>
      <c r="D28" s="5"/>
      <c r="E28" s="4"/>
      <c r="F28" s="45" t="s">
        <v>1</v>
      </c>
      <c r="G28" s="45"/>
      <c r="H28" s="45"/>
      <c r="I28" s="11">
        <f>SUM(I21:I27)</f>
        <v>14</v>
      </c>
      <c r="J28" s="14"/>
    </row>
    <row r="29" spans="1:10" s="6" customFormat="1" x14ac:dyDescent="0.25">
      <c r="A29" s="45" t="s">
        <v>1</v>
      </c>
      <c r="B29" s="45"/>
      <c r="C29" s="45"/>
      <c r="D29" s="11">
        <f>SUM(D21:D28)</f>
        <v>16</v>
      </c>
      <c r="E29" s="4"/>
      <c r="F29" s="10"/>
      <c r="G29" s="10"/>
      <c r="H29" s="26"/>
      <c r="I29" s="10"/>
      <c r="J29" s="14"/>
    </row>
    <row r="30" spans="1:10" ht="15.6" x14ac:dyDescent="0.25">
      <c r="A30" s="10"/>
      <c r="B30" s="10"/>
      <c r="C30" s="26"/>
      <c r="D30" s="10"/>
      <c r="E30" s="4"/>
      <c r="F30" s="37"/>
      <c r="G30" s="37"/>
      <c r="H30" s="37"/>
      <c r="I30" s="37"/>
      <c r="J30" s="14"/>
    </row>
    <row r="31" spans="1:10" ht="15.6" x14ac:dyDescent="0.25">
      <c r="A31" s="37" t="s">
        <v>32</v>
      </c>
      <c r="B31" s="37"/>
      <c r="C31" s="37"/>
      <c r="D31" s="37"/>
      <c r="E31" s="4"/>
      <c r="F31" s="46" t="s">
        <v>22</v>
      </c>
      <c r="G31" s="47"/>
      <c r="H31" s="48"/>
      <c r="I31" s="9" t="s">
        <v>0</v>
      </c>
      <c r="J31" s="14"/>
    </row>
    <row r="32" spans="1:10" ht="31.8" x14ac:dyDescent="0.25">
      <c r="A32" s="46" t="s">
        <v>23</v>
      </c>
      <c r="B32" s="47"/>
      <c r="C32" s="48"/>
      <c r="D32" s="9" t="s">
        <v>0</v>
      </c>
      <c r="E32" s="37"/>
      <c r="F32" s="5" t="s">
        <v>8</v>
      </c>
      <c r="G32" s="5" t="s">
        <v>53</v>
      </c>
      <c r="H32" s="22" t="s">
        <v>126</v>
      </c>
      <c r="I32" s="5">
        <v>3</v>
      </c>
      <c r="J32" s="14"/>
    </row>
    <row r="33" spans="1:10" ht="33" x14ac:dyDescent="0.25">
      <c r="A33" s="5" t="s">
        <v>8</v>
      </c>
      <c r="B33" s="5" t="s">
        <v>50</v>
      </c>
      <c r="C33" s="28" t="s">
        <v>122</v>
      </c>
      <c r="D33" s="5">
        <v>3</v>
      </c>
      <c r="E33" s="4"/>
      <c r="F33" s="5" t="s">
        <v>8</v>
      </c>
      <c r="G33" s="5" t="s">
        <v>54</v>
      </c>
      <c r="H33" s="22" t="s">
        <v>127</v>
      </c>
      <c r="I33" s="5">
        <v>1</v>
      </c>
      <c r="J33" s="14"/>
    </row>
    <row r="34" spans="1:10" s="6" customFormat="1" ht="31.8" x14ac:dyDescent="0.25">
      <c r="A34" s="5" t="s">
        <v>8</v>
      </c>
      <c r="B34" s="5" t="s">
        <v>55</v>
      </c>
      <c r="C34" s="28" t="s">
        <v>123</v>
      </c>
      <c r="D34" s="5">
        <v>3</v>
      </c>
      <c r="E34" s="4"/>
      <c r="F34" s="5" t="s">
        <v>8</v>
      </c>
      <c r="G34" s="5" t="s">
        <v>82</v>
      </c>
      <c r="H34" s="22" t="s">
        <v>131</v>
      </c>
      <c r="I34" s="5">
        <v>3</v>
      </c>
      <c r="J34" s="14"/>
    </row>
    <row r="35" spans="1:10" s="6" customFormat="1" ht="21.6" x14ac:dyDescent="0.25">
      <c r="A35" s="5" t="s">
        <v>8</v>
      </c>
      <c r="B35" s="5" t="s">
        <v>57</v>
      </c>
      <c r="C35" s="22" t="s">
        <v>124</v>
      </c>
      <c r="D35" s="5">
        <v>3</v>
      </c>
      <c r="E35" s="4"/>
      <c r="F35" s="5" t="s">
        <v>8</v>
      </c>
      <c r="G35" s="5" t="s">
        <v>83</v>
      </c>
      <c r="H35" s="22" t="s">
        <v>132</v>
      </c>
      <c r="I35" s="5">
        <v>1</v>
      </c>
      <c r="J35" s="14"/>
    </row>
    <row r="36" spans="1:10" s="6" customFormat="1" ht="21.6" x14ac:dyDescent="0.25">
      <c r="A36" s="5" t="s">
        <v>9</v>
      </c>
      <c r="B36" s="5" t="s">
        <v>93</v>
      </c>
      <c r="C36" s="22" t="s">
        <v>125</v>
      </c>
      <c r="D36" s="5">
        <v>3</v>
      </c>
      <c r="E36" s="4"/>
      <c r="F36" s="5" t="s">
        <v>8</v>
      </c>
      <c r="G36" s="5" t="s">
        <v>59</v>
      </c>
      <c r="H36" s="22" t="s">
        <v>129</v>
      </c>
      <c r="I36" s="5">
        <v>3</v>
      </c>
      <c r="J36" s="14"/>
    </row>
    <row r="37" spans="1:10" s="6" customFormat="1" ht="21.6" x14ac:dyDescent="0.25">
      <c r="A37" s="5" t="s">
        <v>16</v>
      </c>
      <c r="B37" s="5" t="s">
        <v>92</v>
      </c>
      <c r="C37" s="29" t="s">
        <v>102</v>
      </c>
      <c r="D37" s="5">
        <v>3</v>
      </c>
      <c r="E37" s="4"/>
      <c r="F37" s="5" t="s">
        <v>16</v>
      </c>
      <c r="G37" s="5" t="s">
        <v>60</v>
      </c>
      <c r="H37" s="23" t="s">
        <v>130</v>
      </c>
      <c r="I37" s="5">
        <v>3</v>
      </c>
      <c r="J37" s="14"/>
    </row>
    <row r="38" spans="1:10" s="6" customFormat="1" ht="22.8" x14ac:dyDescent="0.25">
      <c r="A38" s="50"/>
      <c r="B38" s="50"/>
      <c r="C38" s="52"/>
      <c r="D38" s="50"/>
      <c r="E38" s="4"/>
      <c r="F38" s="7" t="s">
        <v>17</v>
      </c>
      <c r="G38" s="7" t="s">
        <v>17</v>
      </c>
      <c r="H38" s="30" t="s">
        <v>75</v>
      </c>
      <c r="I38" s="7">
        <v>3</v>
      </c>
      <c r="J38" s="14"/>
    </row>
    <row r="39" spans="1:10" s="6" customFormat="1" x14ac:dyDescent="0.25">
      <c r="A39" s="45" t="s">
        <v>1</v>
      </c>
      <c r="B39" s="45"/>
      <c r="C39" s="45"/>
      <c r="D39" s="11">
        <f>SUM(D33:D38)</f>
        <v>15</v>
      </c>
      <c r="E39" s="4"/>
      <c r="F39" s="45" t="s">
        <v>1</v>
      </c>
      <c r="G39" s="45"/>
      <c r="H39" s="45"/>
      <c r="I39" s="11">
        <f>SUM(I32:I38)</f>
        <v>17</v>
      </c>
      <c r="J39" s="14"/>
    </row>
    <row r="40" spans="1:10" s="6" customFormat="1" x14ac:dyDescent="0.25">
      <c r="A40" s="10"/>
      <c r="B40" s="10"/>
      <c r="C40" s="26"/>
      <c r="D40" s="10"/>
      <c r="E40" s="4"/>
      <c r="F40" s="10"/>
      <c r="G40" s="10"/>
      <c r="H40" s="26"/>
      <c r="I40" s="10"/>
      <c r="J40" s="14"/>
    </row>
    <row r="41" spans="1:10" ht="15.6" x14ac:dyDescent="0.25">
      <c r="A41" s="37" t="s">
        <v>31</v>
      </c>
      <c r="B41" s="37"/>
      <c r="C41" s="37"/>
      <c r="D41" s="37"/>
      <c r="E41" s="4"/>
      <c r="F41" s="37"/>
      <c r="G41" s="37"/>
      <c r="H41" s="37"/>
      <c r="I41" s="37"/>
      <c r="J41" s="14"/>
    </row>
    <row r="42" spans="1:10" x14ac:dyDescent="0.25">
      <c r="A42" s="46" t="s">
        <v>21</v>
      </c>
      <c r="B42" s="47"/>
      <c r="C42" s="48"/>
      <c r="D42" s="9" t="s">
        <v>0</v>
      </c>
      <c r="E42" s="4"/>
      <c r="F42" s="46" t="s">
        <v>20</v>
      </c>
      <c r="G42" s="47"/>
      <c r="H42" s="48"/>
      <c r="I42" s="9" t="s">
        <v>0</v>
      </c>
      <c r="J42" s="14"/>
    </row>
    <row r="43" spans="1:10" ht="31.8" x14ac:dyDescent="0.25">
      <c r="A43" s="5" t="s">
        <v>8</v>
      </c>
      <c r="B43" s="5" t="s">
        <v>64</v>
      </c>
      <c r="C43" s="22" t="s">
        <v>137</v>
      </c>
      <c r="D43" s="5">
        <v>3</v>
      </c>
      <c r="E43" s="37"/>
      <c r="F43" s="5" t="s">
        <v>8</v>
      </c>
      <c r="G43" s="5" t="s">
        <v>62</v>
      </c>
      <c r="H43" s="22" t="s">
        <v>134</v>
      </c>
      <c r="I43" s="5">
        <v>3</v>
      </c>
      <c r="J43" s="14"/>
    </row>
    <row r="44" spans="1:10" ht="21.6" x14ac:dyDescent="0.25">
      <c r="A44" s="5" t="s">
        <v>8</v>
      </c>
      <c r="B44" s="5" t="s">
        <v>58</v>
      </c>
      <c r="C44" s="22" t="s">
        <v>138</v>
      </c>
      <c r="D44" s="5">
        <v>3</v>
      </c>
      <c r="E44" s="4"/>
      <c r="F44" s="5" t="s">
        <v>8</v>
      </c>
      <c r="G44" s="5" t="s">
        <v>63</v>
      </c>
      <c r="H44" s="22" t="s">
        <v>135</v>
      </c>
      <c r="I44" s="5">
        <v>1</v>
      </c>
    </row>
    <row r="45" spans="1:10" s="6" customFormat="1" ht="21.6" x14ac:dyDescent="0.25">
      <c r="A45" s="5" t="s">
        <v>8</v>
      </c>
      <c r="B45" s="5" t="s">
        <v>80</v>
      </c>
      <c r="C45" s="22" t="s">
        <v>128</v>
      </c>
      <c r="D45" s="5">
        <v>1</v>
      </c>
      <c r="E45" s="4"/>
      <c r="F45" s="7" t="s">
        <v>8</v>
      </c>
      <c r="G45" s="7" t="s">
        <v>66</v>
      </c>
      <c r="H45" s="24" t="s">
        <v>5</v>
      </c>
      <c r="I45" s="7">
        <v>1</v>
      </c>
    </row>
    <row r="46" spans="1:10" s="6" customFormat="1" x14ac:dyDescent="0.25">
      <c r="A46" s="5" t="s">
        <v>8</v>
      </c>
      <c r="B46" s="5" t="s">
        <v>17</v>
      </c>
      <c r="C46" s="22" t="s">
        <v>84</v>
      </c>
      <c r="D46" s="5">
        <v>3</v>
      </c>
      <c r="E46" s="4"/>
      <c r="F46" s="5" t="s">
        <v>8</v>
      </c>
      <c r="G46" s="5" t="s">
        <v>17</v>
      </c>
      <c r="H46" s="22" t="s">
        <v>86</v>
      </c>
      <c r="I46" s="5">
        <v>3</v>
      </c>
    </row>
    <row r="47" spans="1:10" s="6" customFormat="1" x14ac:dyDescent="0.25">
      <c r="A47" s="5" t="s">
        <v>8</v>
      </c>
      <c r="B47" s="5" t="s">
        <v>17</v>
      </c>
      <c r="C47" s="22" t="s">
        <v>85</v>
      </c>
      <c r="D47" s="5">
        <v>3</v>
      </c>
      <c r="E47" s="4"/>
      <c r="F47" s="5" t="s">
        <v>8</v>
      </c>
      <c r="G47" s="5" t="s">
        <v>17</v>
      </c>
      <c r="H47" s="22" t="s">
        <v>87</v>
      </c>
      <c r="I47" s="5">
        <v>3</v>
      </c>
    </row>
    <row r="48" spans="1:10" s="6" customFormat="1" x14ac:dyDescent="0.25">
      <c r="A48" s="7" t="s">
        <v>17</v>
      </c>
      <c r="B48" s="7" t="s">
        <v>17</v>
      </c>
      <c r="C48" s="24" t="s">
        <v>89</v>
      </c>
      <c r="D48" s="7">
        <v>3</v>
      </c>
      <c r="E48" s="4"/>
      <c r="F48" s="5" t="s">
        <v>8</v>
      </c>
      <c r="G48" s="5" t="s">
        <v>17</v>
      </c>
      <c r="H48" s="22" t="s">
        <v>88</v>
      </c>
      <c r="I48" s="5">
        <v>3</v>
      </c>
    </row>
    <row r="49" spans="1:11" s="6" customFormat="1" x14ac:dyDescent="0.25">
      <c r="A49" s="5"/>
      <c r="B49" s="5"/>
      <c r="C49" s="22"/>
      <c r="D49" s="5"/>
      <c r="E49" s="4"/>
      <c r="F49" s="7" t="s">
        <v>17</v>
      </c>
      <c r="G49" s="7" t="s">
        <v>17</v>
      </c>
      <c r="H49" s="24" t="s">
        <v>90</v>
      </c>
      <c r="I49" s="7">
        <v>3</v>
      </c>
    </row>
    <row r="50" spans="1:11" s="6" customFormat="1" x14ac:dyDescent="0.25">
      <c r="A50" s="45" t="s">
        <v>1</v>
      </c>
      <c r="B50" s="45"/>
      <c r="C50" s="45"/>
      <c r="D50" s="11">
        <f>SUM(D43:D48)</f>
        <v>16</v>
      </c>
      <c r="E50" s="4"/>
      <c r="F50" s="45" t="s">
        <v>1</v>
      </c>
      <c r="G50" s="45"/>
      <c r="H50" s="45"/>
      <c r="I50" s="11">
        <f>SUM(I43:I49)</f>
        <v>17</v>
      </c>
    </row>
    <row r="51" spans="1:11" s="6" customFormat="1" x14ac:dyDescent="0.25">
      <c r="A51" s="10"/>
      <c r="B51" s="10"/>
      <c r="C51" s="26"/>
      <c r="D51" s="10"/>
      <c r="E51" s="4"/>
      <c r="F51" s="10"/>
      <c r="G51" s="10"/>
      <c r="H51" s="26"/>
      <c r="I51" s="10"/>
    </row>
    <row r="52" spans="1:11" ht="15.6" x14ac:dyDescent="0.3">
      <c r="A52" s="37" t="s">
        <v>30</v>
      </c>
      <c r="B52" s="37"/>
      <c r="C52" s="37"/>
      <c r="D52" s="37"/>
      <c r="E52" s="4"/>
      <c r="F52" s="37"/>
      <c r="G52" s="37"/>
      <c r="H52" s="37"/>
      <c r="I52" s="37"/>
      <c r="K52" s="17"/>
    </row>
    <row r="53" spans="1:11" x14ac:dyDescent="0.25">
      <c r="A53" s="46" t="s">
        <v>19</v>
      </c>
      <c r="B53" s="47"/>
      <c r="C53" s="48"/>
      <c r="D53" s="9" t="s">
        <v>0</v>
      </c>
      <c r="E53" s="4"/>
      <c r="F53" s="49"/>
      <c r="G53" s="49"/>
      <c r="H53" s="49"/>
      <c r="I53" s="12"/>
    </row>
    <row r="54" spans="1:11" ht="15.6" x14ac:dyDescent="0.25">
      <c r="A54" s="5" t="s">
        <v>8</v>
      </c>
      <c r="B54" s="5" t="s">
        <v>65</v>
      </c>
      <c r="C54" s="22" t="s">
        <v>35</v>
      </c>
      <c r="D54" s="5">
        <v>1</v>
      </c>
      <c r="E54" s="37"/>
      <c r="F54" s="4"/>
      <c r="G54" s="4"/>
      <c r="H54" s="31"/>
      <c r="I54" s="4"/>
    </row>
    <row r="55" spans="1:11" ht="21.6" x14ac:dyDescent="0.25">
      <c r="A55" s="7" t="s">
        <v>8</v>
      </c>
      <c r="B55" s="7" t="s">
        <v>67</v>
      </c>
      <c r="C55" s="24" t="s">
        <v>136</v>
      </c>
      <c r="D55" s="7">
        <v>2</v>
      </c>
      <c r="E55" s="4"/>
      <c r="F55" s="6"/>
      <c r="G55" s="6"/>
      <c r="H55" s="32"/>
      <c r="I55" s="6"/>
    </row>
    <row r="56" spans="1:11" s="6" customFormat="1" ht="21.6" x14ac:dyDescent="0.25">
      <c r="A56" s="5" t="s">
        <v>8</v>
      </c>
      <c r="B56" s="5" t="s">
        <v>81</v>
      </c>
      <c r="C56" s="22" t="s">
        <v>133</v>
      </c>
      <c r="D56" s="5">
        <v>3</v>
      </c>
      <c r="E56" s="4"/>
      <c r="H56" s="32"/>
    </row>
    <row r="57" spans="1:11" s="6" customFormat="1" ht="21.6" x14ac:dyDescent="0.25">
      <c r="A57" s="5" t="s">
        <v>9</v>
      </c>
      <c r="B57" s="5" t="s">
        <v>95</v>
      </c>
      <c r="C57" s="20" t="s">
        <v>100</v>
      </c>
      <c r="D57" s="5">
        <v>3</v>
      </c>
      <c r="E57" s="4"/>
      <c r="F57" s="4"/>
      <c r="G57" s="4"/>
      <c r="H57" s="33"/>
      <c r="I57" s="4"/>
    </row>
    <row r="58" spans="1:11" s="6" customFormat="1" x14ac:dyDescent="0.25">
      <c r="A58" s="5" t="s">
        <v>17</v>
      </c>
      <c r="B58" s="5" t="s">
        <v>17</v>
      </c>
      <c r="C58" s="22" t="s">
        <v>34</v>
      </c>
      <c r="D58" s="5">
        <v>3</v>
      </c>
      <c r="E58" s="4"/>
      <c r="F58" s="4"/>
      <c r="G58" s="4"/>
      <c r="H58" s="31"/>
      <c r="I58" s="4"/>
    </row>
    <row r="59" spans="1:11" s="6" customFormat="1" x14ac:dyDescent="0.25">
      <c r="A59" s="50"/>
      <c r="B59" s="50"/>
      <c r="C59" s="51"/>
      <c r="D59" s="50"/>
      <c r="E59" s="4"/>
      <c r="F59" s="4"/>
      <c r="G59" s="4"/>
      <c r="H59" s="31"/>
      <c r="I59" s="4"/>
    </row>
    <row r="60" spans="1:11" s="6" customFormat="1" x14ac:dyDescent="0.3">
      <c r="A60" s="7" t="s">
        <v>17</v>
      </c>
      <c r="B60" s="7" t="s">
        <v>17</v>
      </c>
      <c r="C60" s="30" t="s">
        <v>6</v>
      </c>
      <c r="D60" s="7">
        <v>3</v>
      </c>
      <c r="E60" s="4"/>
      <c r="F60" s="4"/>
      <c r="G60" s="4"/>
      <c r="H60" s="34" t="s">
        <v>98</v>
      </c>
      <c r="I60" s="16">
        <f>D17+I17+D29+I28+D39+I39+D50+I50+D61</f>
        <v>144</v>
      </c>
    </row>
    <row r="61" spans="1:11" s="6" customFormat="1" x14ac:dyDescent="0.25">
      <c r="A61" s="45" t="s">
        <v>1</v>
      </c>
      <c r="B61" s="45"/>
      <c r="C61" s="45"/>
      <c r="D61" s="11">
        <f>SUM(D54:D60)</f>
        <v>15</v>
      </c>
      <c r="E61" s="4"/>
      <c r="F61" s="2"/>
      <c r="G61" s="2"/>
      <c r="H61" s="35"/>
      <c r="I61" s="2"/>
    </row>
    <row r="62" spans="1:11" s="6" customFormat="1" x14ac:dyDescent="0.3">
      <c r="A62" s="38" t="s">
        <v>99</v>
      </c>
      <c r="B62" s="38"/>
      <c r="C62" s="38"/>
      <c r="D62" s="38"/>
      <c r="E62" s="4"/>
      <c r="F62" s="38"/>
      <c r="G62" s="38"/>
      <c r="H62" s="38"/>
      <c r="I62" s="38"/>
    </row>
    <row r="63" spans="1:11" s="2" customFormat="1" x14ac:dyDescent="0.25">
      <c r="A63" s="36" t="s">
        <v>94</v>
      </c>
      <c r="B63" s="36"/>
      <c r="C63" s="36"/>
      <c r="D63" s="36"/>
      <c r="E63" s="8"/>
      <c r="F63" s="36"/>
      <c r="G63" s="36"/>
      <c r="H63" s="36"/>
      <c r="I63" s="36"/>
    </row>
    <row r="64" spans="1:11" s="18" customFormat="1" x14ac:dyDescent="0.3">
      <c r="A64" s="36" t="s">
        <v>96</v>
      </c>
      <c r="B64" s="36"/>
      <c r="C64" s="36"/>
      <c r="D64" s="36"/>
      <c r="E64" s="38"/>
      <c r="F64" s="36"/>
      <c r="G64" s="36"/>
      <c r="H64" s="36"/>
      <c r="I64" s="36"/>
    </row>
    <row r="65" spans="1:9" s="15" customFormat="1" x14ac:dyDescent="0.25">
      <c r="A65" s="1"/>
      <c r="B65" s="1"/>
      <c r="C65" s="29"/>
      <c r="D65" s="1"/>
      <c r="E65" s="36"/>
      <c r="F65" s="1"/>
      <c r="G65" s="1"/>
      <c r="H65" s="29"/>
      <c r="I65" s="1"/>
    </row>
    <row r="66" spans="1:9" s="15" customFormat="1" x14ac:dyDescent="0.25">
      <c r="A66" s="1"/>
      <c r="B66" s="1"/>
      <c r="C66" s="29"/>
      <c r="D66" s="1"/>
      <c r="E66" s="36"/>
      <c r="F66" s="1"/>
      <c r="G66" s="1"/>
      <c r="H66" s="29"/>
      <c r="I66" s="1"/>
    </row>
  </sheetData>
  <mergeCells count="25">
    <mergeCell ref="F7:H7"/>
    <mergeCell ref="A17:C17"/>
    <mergeCell ref="F50:H50"/>
    <mergeCell ref="F53:H53"/>
    <mergeCell ref="A20:C20"/>
    <mergeCell ref="F20:H20"/>
    <mergeCell ref="A32:C32"/>
    <mergeCell ref="F31:H31"/>
    <mergeCell ref="A53:C53"/>
    <mergeCell ref="A29:C29"/>
    <mergeCell ref="F28:H28"/>
    <mergeCell ref="A7:C7"/>
    <mergeCell ref="A1:I1"/>
    <mergeCell ref="A2:I2"/>
    <mergeCell ref="A3:I3"/>
    <mergeCell ref="A4:I4"/>
    <mergeCell ref="A6:I6"/>
    <mergeCell ref="A5:I5"/>
    <mergeCell ref="F17:H17"/>
    <mergeCell ref="A61:C61"/>
    <mergeCell ref="A39:C39"/>
    <mergeCell ref="F39:H39"/>
    <mergeCell ref="A50:C50"/>
    <mergeCell ref="F42:H42"/>
    <mergeCell ref="A42:C42"/>
  </mergeCells>
  <phoneticPr fontId="2" type="noConversion"/>
  <hyperlinks>
    <hyperlink ref="J17" r:id="rId1" display="https://catalog.aucegypt.edu/preview_program.php?catoid=38&amp;poid=6617&amp;returnto=1896" xr:uid="{00000000-0004-0000-0000-000000000000}"/>
  </hyperlinks>
  <printOptions horizontalCentered="1" verticalCentered="1"/>
  <pageMargins left="0" right="0" top="0" bottom="0" header="0.3" footer="0.3"/>
  <pageSetup paperSize="9" scale="53" orientation="portrait" r:id="rId2"/>
  <headerFooter alignWithMargins="0">
    <oddFooter>&amp;R&amp;D, &amp;T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sama.abu.zahra158@gmail.com</cp:lastModifiedBy>
  <cp:lastPrinted>2022-08-12T22:52:32Z</cp:lastPrinted>
  <dcterms:created xsi:type="dcterms:W3CDTF">2008-11-07T13:28:44Z</dcterms:created>
  <dcterms:modified xsi:type="dcterms:W3CDTF">2023-11-14T10:12:14Z</dcterms:modified>
</cp:coreProperties>
</file>